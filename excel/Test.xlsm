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Share_Code\digital_project\excel\"/>
    </mc:Choice>
  </mc:AlternateContent>
  <bookViews>
    <workbookView xWindow="0" yWindow="0" windowWidth="28800" windowHeight="13020"/>
  </bookViews>
  <sheets>
    <sheet name="Sheet1" sheetId="1" r:id="rId1"/>
  </sheets>
  <calcPr calcId="152511"/>
</workbook>
</file>

<file path=xl/calcChain.xml><?xml version="1.0" encoding="utf-8"?>
<calcChain xmlns="http://schemas.openxmlformats.org/spreadsheetml/2006/main">
  <c r="M2" i="1" l="1"/>
  <c r="P8" i="1"/>
  <c r="O8" i="1"/>
  <c r="N8" i="1"/>
  <c r="M8" i="1"/>
  <c r="P7" i="1"/>
  <c r="O7" i="1"/>
  <c r="N7" i="1"/>
  <c r="M7" i="1"/>
  <c r="M4" i="1"/>
  <c r="M3" i="1"/>
  <c r="Q3" i="1" l="1"/>
  <c r="Q4" i="1"/>
</calcChain>
</file>

<file path=xl/sharedStrings.xml><?xml version="1.0" encoding="utf-8"?>
<sst xmlns="http://schemas.openxmlformats.org/spreadsheetml/2006/main" count="32" uniqueCount="28">
  <si>
    <t>PUNCHING MACHINE: OEE REPORT IN 2019</t>
  </si>
  <si>
    <t>Operation Time</t>
  </si>
  <si>
    <t>Time Off</t>
  </si>
  <si>
    <t>OPERATION TIME</t>
  </si>
  <si>
    <t>UPTIME</t>
  </si>
  <si>
    <t xml:space="preserve"> UPTIME RATIO </t>
  </si>
  <si>
    <t>Equipment Uptime</t>
  </si>
  <si>
    <t>Equipment Downtime</t>
  </si>
  <si>
    <t>EXECUTING TIME</t>
  </si>
  <si>
    <t xml:space="preserve"> OEE </t>
  </si>
  <si>
    <t>Productive Time</t>
  </si>
  <si>
    <t>Lost Time</t>
  </si>
  <si>
    <t>Scheduled Downtime</t>
  </si>
  <si>
    <t>Date</t>
  </si>
  <si>
    <t>Total Time</t>
  </si>
  <si>
    <t>Good products</t>
  </si>
  <si>
    <t>Fail Products</t>
  </si>
  <si>
    <t>Standby Time</t>
  </si>
  <si>
    <t>Setup Time</t>
  </si>
  <si>
    <t xml:space="preserve"> Maintenance Time_x000D_
</t>
  </si>
  <si>
    <t xml:space="preserve">Repair Time </t>
  </si>
  <si>
    <t>Break Time</t>
  </si>
  <si>
    <t>Available time</t>
  </si>
  <si>
    <t>Productive time</t>
  </si>
  <si>
    <t>Idle + Engineering time</t>
  </si>
  <si>
    <t>Downtime</t>
  </si>
  <si>
    <t>2019-04-17</t>
  </si>
  <si>
    <t>2019-04-18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</si>
</sst>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rgb="FF09A3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4F7D2"/>
        <bgColor indexed="64"/>
      </patternFill>
    </fill>
    <fill>
      <patternFill patternType="solid">
        <fgColor rgb="FFE0E0E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 textRotation="90" wrapText="1"/>
    </xf>
    <xf numFmtId="0" fontId="0" fillId="0" borderId="0" xfId="0" applyNumberFormat="1" applyAlignment="1">
      <alignment textRotation="90"/>
    </xf>
    <xf numFmtId="0" fontId="0" fillId="0" borderId="0" xfId="0" applyNumberFormat="1" applyAlignment="1">
      <alignment horizontal="center" vertical="center" textRotation="90"/>
    </xf>
    <xf numFmtId="0" fontId="1" fillId="0" borderId="0" xfId="0" applyNumberFormat="1" applyFont="1" applyAlignment="1">
      <alignment horizontal="center" vertical="center"/>
    </xf>
    <xf numFmtId="0" fontId="1" fillId="0" borderId="0" xfId="0" applyNumberFormat="1" applyFont="1"/>
    <xf numFmtId="0" fontId="0" fillId="0" borderId="1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 wrapText="1"/>
    </xf>
    <xf numFmtId="0" fontId="0" fillId="0" borderId="1" xfId="0" applyNumberFormat="1" applyBorder="1" applyAlignment="1">
      <alignment horizontal="center" vertical="center" wrapText="1"/>
    </xf>
    <xf numFmtId="0" fontId="0" fillId="0" borderId="1" xfId="0" applyNumberFormat="1" applyBorder="1" applyAlignment="1">
      <alignment horizontal="center" vertical="center" textRotation="90" wrapText="1"/>
    </xf>
    <xf numFmtId="0" fontId="0" fillId="0" borderId="1" xfId="0" applyNumberFormat="1" applyBorder="1" applyAlignment="1">
      <alignment horizontal="center" vertical="center" textRotation="90" wrapText="1"/>
    </xf>
    <xf numFmtId="0" fontId="3" fillId="2" borderId="1" xfId="0" applyNumberFormat="1" applyFont="1" applyFill="1" applyBorder="1" applyAlignment="1">
      <alignment horizontal="center" vertical="center" textRotation="90" wrapText="1"/>
    </xf>
    <xf numFmtId="0" fontId="0" fillId="0" borderId="1" xfId="0" applyNumberFormat="1" applyBorder="1" applyAlignment="1">
      <alignment horizontal="center" vertical="center"/>
    </xf>
    <xf numFmtId="0" fontId="1" fillId="3" borderId="1" xfId="0" applyNumberFormat="1" applyFont="1" applyFill="1" applyBorder="1" applyAlignment="1">
      <alignment horizontal="center" vertical="center"/>
    </xf>
    <xf numFmtId="10" fontId="0" fillId="0" borderId="0" xfId="0" applyNumberFormat="1"/>
    <xf numFmtId="0" fontId="2" fillId="0" borderId="2" xfId="0" applyNumberFormat="1" applyFont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Machine record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Sheet1!$M$6</c:f>
              <c:strCache>
                <c:ptCount val="1"/>
                <c:pt idx="0">
                  <c:v>Available time</c:v>
                </c:pt>
              </c:strCache>
            </c:strRef>
          </c:tx>
          <c:spPr>
            <a:solidFill>
              <a:srgbClr val="CC0000"/>
            </a:solidFill>
            <a:ln>
              <a:noFill/>
            </a:ln>
            <a:effectLst/>
          </c:spPr>
          <c:invertIfNegative val="0"/>
          <c:val>
            <c:numRef>
              <c:f>Sheet1!$M$7:$M$13</c:f>
              <c:numCache>
                <c:formatCode>General</c:formatCode>
                <c:ptCount val="7"/>
                <c:pt idx="0">
                  <c:v>420</c:v>
                </c:pt>
                <c:pt idx="1">
                  <c:v>420</c:v>
                </c:pt>
              </c:numCache>
            </c:numRef>
          </c:val>
        </c:ser>
        <c:ser>
          <c:idx val="2"/>
          <c:order val="2"/>
          <c:tx>
            <c:strRef>
              <c:f>Sheet1!$N$6</c:f>
              <c:strCache>
                <c:ptCount val="1"/>
                <c:pt idx="0">
                  <c:v>Productive time</c:v>
                </c:pt>
              </c:strCache>
            </c:strRef>
          </c:tx>
          <c:spPr>
            <a:solidFill>
              <a:srgbClr val="86B300"/>
            </a:solidFill>
            <a:ln>
              <a:noFill/>
            </a:ln>
            <a:effectLst/>
          </c:spPr>
          <c:invertIfNegative val="0"/>
          <c:val>
            <c:numRef>
              <c:f>Sheet1!$N$7:$N$13</c:f>
              <c:numCache>
                <c:formatCode>General</c:formatCode>
                <c:ptCount val="7"/>
                <c:pt idx="0">
                  <c:v>31</c:v>
                </c:pt>
                <c:pt idx="1">
                  <c:v>47.5</c:v>
                </c:pt>
              </c:numCache>
            </c:numRef>
          </c:val>
        </c:ser>
        <c:ser>
          <c:idx val="3"/>
          <c:order val="3"/>
          <c:tx>
            <c:strRef>
              <c:f>Sheet1!$O$6</c:f>
              <c:strCache>
                <c:ptCount val="1"/>
                <c:pt idx="0">
                  <c:v>Idle + Engineering time</c:v>
                </c:pt>
              </c:strCache>
            </c:strRef>
          </c:tx>
          <c:spPr>
            <a:solidFill>
              <a:srgbClr val="6600FF"/>
            </a:solidFill>
            <a:ln>
              <a:noFill/>
            </a:ln>
            <a:effectLst/>
          </c:spPr>
          <c:invertIfNegative val="0"/>
          <c:val>
            <c:numRef>
              <c:f>Sheet1!$O$7:$O$13</c:f>
              <c:numCache>
                <c:formatCode>General</c:formatCode>
                <c:ptCount val="7"/>
                <c:pt idx="0">
                  <c:v>389</c:v>
                </c:pt>
                <c:pt idx="1">
                  <c:v>372.5</c:v>
                </c:pt>
              </c:numCache>
            </c:numRef>
          </c:val>
        </c:ser>
        <c:ser>
          <c:idx val="4"/>
          <c:order val="4"/>
          <c:tx>
            <c:strRef>
              <c:f>Sheet1!$P$6</c:f>
              <c:strCache>
                <c:ptCount val="1"/>
                <c:pt idx="0">
                  <c:v>Downtime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Sheet1!$P$7:$P$13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01705040"/>
        <c:axId val="101702800"/>
      </c:barChart>
      <c:lineChart>
        <c:grouping val="standard"/>
        <c:varyColors val="0"/>
        <c:ser>
          <c:idx val="0"/>
          <c:order val="0"/>
          <c:tx>
            <c:strRef>
              <c:f>Sheet1!$L$6</c:f>
              <c:strCache>
                <c:ptCount val="1"/>
                <c:pt idx="0">
                  <c:v>Date</c:v>
                </c:pt>
              </c:strCache>
            </c:strRef>
          </c:tx>
          <c:spPr>
            <a:ln w="28575" cap="rnd">
              <a:solidFill>
                <a:srgbClr val="008AE6"/>
              </a:solidFill>
              <a:round/>
            </a:ln>
            <a:effectLst/>
          </c:spPr>
          <c:marker>
            <c:symbol val="none"/>
          </c:marker>
          <c:val>
            <c:numRef>
              <c:f>Sheet1!$L$7:$L$13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705040"/>
        <c:axId val="101702800"/>
      </c:lineChart>
      <c:catAx>
        <c:axId val="1017050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702800"/>
        <c:crosses val="autoZero"/>
        <c:auto val="1"/>
        <c:lblAlgn val="ctr"/>
        <c:lblOffset val="100"/>
        <c:noMultiLvlLbl val="0"/>
      </c:catAx>
      <c:valAx>
        <c:axId val="10170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705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0</xdr:rowOff>
    </xdr:from>
    <xdr:to>
      <xdr:col>23</xdr:col>
      <xdr:colOff>457200</xdr:colOff>
      <xdr:row>14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4"/>
  <sheetViews>
    <sheetView tabSelected="1" workbookViewId="0">
      <selection activeCell="P12" sqref="P12"/>
    </sheetView>
  </sheetViews>
  <sheetFormatPr defaultRowHeight="15.75" x14ac:dyDescent="0.25"/>
  <cols>
    <col min="1" max="1" width="15.625" style="1" customWidth="1"/>
    <col min="2" max="10" width="8.625" style="1" customWidth="1"/>
    <col min="12" max="12" width="15.625" style="1" customWidth="1"/>
    <col min="13" max="16" width="8.625" style="1" customWidth="1"/>
    <col min="17" max="17" width="7.125" bestFit="1" customWidth="1"/>
  </cols>
  <sheetData>
    <row r="1" spans="1:17" ht="39.950000000000003" customHeight="1" x14ac:dyDescent="0.25">
      <c r="A1" s="16" t="s">
        <v>0</v>
      </c>
      <c r="B1" s="17"/>
      <c r="C1" s="17"/>
      <c r="D1" s="17"/>
      <c r="E1" s="17"/>
      <c r="F1" s="17"/>
      <c r="G1" s="17"/>
      <c r="H1" s="17"/>
      <c r="I1" s="17"/>
      <c r="J1" s="17"/>
    </row>
    <row r="2" spans="1:17" x14ac:dyDescent="0.25">
      <c r="A2" s="7"/>
      <c r="B2" s="7"/>
      <c r="C2" s="7"/>
      <c r="D2" s="7"/>
      <c r="E2" s="8" t="s">
        <v>1</v>
      </c>
      <c r="F2" s="8"/>
      <c r="G2" s="8"/>
      <c r="H2" s="8"/>
      <c r="I2" s="8"/>
      <c r="J2" s="8" t="s">
        <v>2</v>
      </c>
      <c r="L2" s="1" t="s">
        <v>3</v>
      </c>
      <c r="M2" s="1">
        <f>B14-J14</f>
        <v>0</v>
      </c>
    </row>
    <row r="3" spans="1:17" x14ac:dyDescent="0.25">
      <c r="A3" s="7"/>
      <c r="B3" s="7"/>
      <c r="C3" s="7"/>
      <c r="D3" s="7"/>
      <c r="E3" s="8"/>
      <c r="F3" s="8"/>
      <c r="G3" s="8"/>
      <c r="H3" s="8"/>
      <c r="I3" s="8"/>
      <c r="J3" s="8"/>
      <c r="L3" s="1" t="s">
        <v>4</v>
      </c>
      <c r="M3" s="1">
        <f>E14+F14+G14</f>
        <v>0</v>
      </c>
      <c r="P3" s="1" t="s">
        <v>5</v>
      </c>
      <c r="Q3" s="15" t="e">
        <f>M3/M2</f>
        <v>#DIV/0!</v>
      </c>
    </row>
    <row r="4" spans="1:17" x14ac:dyDescent="0.25">
      <c r="A4" s="7"/>
      <c r="B4" s="7"/>
      <c r="C4" s="7"/>
      <c r="D4" s="7"/>
      <c r="E4" s="8" t="s">
        <v>6</v>
      </c>
      <c r="F4" s="8"/>
      <c r="G4" s="8"/>
      <c r="H4" s="8" t="s">
        <v>7</v>
      </c>
      <c r="I4" s="8"/>
      <c r="J4" s="9"/>
      <c r="L4" s="1" t="s">
        <v>8</v>
      </c>
      <c r="M4" s="1">
        <f>E14</f>
        <v>0</v>
      </c>
      <c r="P4" s="1" t="s">
        <v>9</v>
      </c>
      <c r="Q4" s="15" t="e">
        <f>M4/M2</f>
        <v>#DIV/0!</v>
      </c>
    </row>
    <row r="5" spans="1:17" s="3" customFormat="1" ht="56.25" x14ac:dyDescent="0.25">
      <c r="A5" s="7"/>
      <c r="B5" s="7"/>
      <c r="C5" s="7"/>
      <c r="D5" s="7"/>
      <c r="E5" s="10" t="s">
        <v>10</v>
      </c>
      <c r="F5" s="11" t="s">
        <v>11</v>
      </c>
      <c r="G5" s="11"/>
      <c r="H5" s="10" t="s">
        <v>12</v>
      </c>
      <c r="I5" s="10"/>
      <c r="J5" s="10"/>
      <c r="L5" s="4"/>
      <c r="M5" s="4"/>
      <c r="N5" s="4"/>
      <c r="O5" s="4"/>
      <c r="P5" s="4"/>
    </row>
    <row r="6" spans="1:17" s="2" customFormat="1" ht="80.099999999999994" customHeight="1" x14ac:dyDescent="0.25">
      <c r="A6" s="12" t="s">
        <v>13</v>
      </c>
      <c r="B6" s="12" t="s">
        <v>14</v>
      </c>
      <c r="C6" s="12" t="s">
        <v>15</v>
      </c>
      <c r="D6" s="12" t="s">
        <v>16</v>
      </c>
      <c r="E6" s="12" t="s">
        <v>10</v>
      </c>
      <c r="F6" s="12" t="s">
        <v>17</v>
      </c>
      <c r="G6" s="12" t="s">
        <v>18</v>
      </c>
      <c r="H6" s="12" t="s">
        <v>19</v>
      </c>
      <c r="I6" s="12" t="s">
        <v>20</v>
      </c>
      <c r="J6" s="12" t="s">
        <v>21</v>
      </c>
      <c r="L6" s="12" t="s">
        <v>13</v>
      </c>
      <c r="M6" s="12" t="s">
        <v>22</v>
      </c>
      <c r="N6" s="12" t="s">
        <v>23</v>
      </c>
      <c r="O6" s="12" t="s">
        <v>24</v>
      </c>
      <c r="P6" s="12" t="s">
        <v>25</v>
      </c>
    </row>
    <row r="7" spans="1:17" x14ac:dyDescent="0.25">
      <c r="A7" s="13" t="s">
        <v>26</v>
      </c>
      <c r="B7" s="13">
        <v>480</v>
      </c>
      <c r="C7" s="13">
        <v>46</v>
      </c>
      <c r="D7" s="13">
        <v>0</v>
      </c>
      <c r="E7" s="13">
        <v>31</v>
      </c>
      <c r="F7" s="13">
        <v>389</v>
      </c>
      <c r="G7" s="13">
        <v>0</v>
      </c>
      <c r="H7" s="13">
        <v>0</v>
      </c>
      <c r="I7" s="13">
        <v>0</v>
      </c>
      <c r="J7" s="13">
        <v>60</v>
      </c>
      <c r="L7" s="13" t="s">
        <v>26</v>
      </c>
      <c r="M7" s="13">
        <f t="shared" ref="M7:M13" si="0">B7-J7</f>
        <v>420</v>
      </c>
      <c r="N7" s="13">
        <f t="shared" ref="N7:N13" si="1">E7</f>
        <v>31</v>
      </c>
      <c r="O7" s="13">
        <f t="shared" ref="O7:O13" si="2">F7+G7</f>
        <v>389</v>
      </c>
      <c r="P7" s="13">
        <f t="shared" ref="P7:P13" si="3">H7+I7</f>
        <v>0</v>
      </c>
    </row>
    <row r="8" spans="1:17" x14ac:dyDescent="0.25">
      <c r="A8" s="13" t="s">
        <v>27</v>
      </c>
      <c r="B8" s="13">
        <v>480</v>
      </c>
      <c r="C8" s="13">
        <v>48</v>
      </c>
      <c r="D8" s="13">
        <v>0</v>
      </c>
      <c r="E8" s="13">
        <v>47.5</v>
      </c>
      <c r="F8" s="13">
        <v>372.5</v>
      </c>
      <c r="G8" s="13">
        <v>0</v>
      </c>
      <c r="H8" s="13">
        <v>0</v>
      </c>
      <c r="I8" s="13">
        <v>0</v>
      </c>
      <c r="J8" s="13">
        <v>60</v>
      </c>
      <c r="L8" s="13" t="s">
        <v>27</v>
      </c>
      <c r="M8" s="13">
        <f t="shared" si="0"/>
        <v>420</v>
      </c>
      <c r="N8" s="13">
        <f t="shared" si="1"/>
        <v>47.5</v>
      </c>
      <c r="O8" s="13">
        <f t="shared" si="2"/>
        <v>372.5</v>
      </c>
      <c r="P8" s="13">
        <f t="shared" si="3"/>
        <v>0</v>
      </c>
    </row>
    <row r="9" spans="1:17" s="6" customFormat="1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L9" s="18"/>
      <c r="M9" s="18"/>
      <c r="N9" s="18"/>
      <c r="O9" s="18"/>
      <c r="P9" s="18"/>
    </row>
    <row r="10" spans="1:17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L10" s="13"/>
      <c r="M10" s="13"/>
      <c r="N10" s="13"/>
      <c r="O10" s="13"/>
      <c r="P10" s="13"/>
    </row>
    <row r="11" spans="1:17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L11" s="13"/>
      <c r="M11" s="13"/>
      <c r="N11" s="13"/>
      <c r="O11" s="13"/>
      <c r="P11" s="13"/>
    </row>
    <row r="12" spans="1:17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L12" s="13"/>
      <c r="M12" s="13"/>
      <c r="N12" s="13"/>
      <c r="O12" s="13"/>
      <c r="P12" s="13"/>
    </row>
    <row r="13" spans="1:17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L13" s="13"/>
      <c r="M13" s="13"/>
      <c r="N13" s="13"/>
      <c r="O13" s="13"/>
      <c r="P13" s="13"/>
    </row>
    <row r="14" spans="1:17" s="6" customFormat="1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L14" s="5"/>
      <c r="M14" s="5"/>
      <c r="N14" s="5"/>
      <c r="O14" s="5"/>
      <c r="P14" s="5"/>
    </row>
  </sheetData>
  <mergeCells count="7">
    <mergeCell ref="A1:J1"/>
    <mergeCell ref="A2:D5"/>
    <mergeCell ref="E2:I3"/>
    <mergeCell ref="J2:J3"/>
    <mergeCell ref="E4:G4"/>
    <mergeCell ref="H4:I4"/>
    <mergeCell ref="F5:G5"/>
  </mergeCells>
  <pageMargins left="0.7" right="0.7" top="0.75" bottom="0.75" header="0.3" footer="0.3"/>
  <pageSetup orientation="portrait" r:id="rId1"/>
  <ignoredErrors>
    <ignoredError sqref="A2:S8 A1:J1 L1:S1 A17:S47 K15:S16 K9:K14 Q9:S14" numberStoredAsText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Minh Khanh</dc:creator>
  <cp:lastModifiedBy>vttek</cp:lastModifiedBy>
  <dcterms:created xsi:type="dcterms:W3CDTF">2019-04-22T06:12:04Z</dcterms:created>
  <dcterms:modified xsi:type="dcterms:W3CDTF">2020-01-08T09:22:38Z</dcterms:modified>
</cp:coreProperties>
</file>