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sheets>
    <sheet name="Sheet1" sheetId="1" r:id="rId1"/>
  </sheets>
</workbook>
</file>

<file path=xl/styles.xml><?xml version="1.0" encoding="utf-8"?>
<styleSheet xmlns="http://schemas.openxmlformats.org/spreadsheetml/2006/main" xmlns:vt="http://schemas.openxmlformats.org/officeDocument/2006/docPropsVTypes">
  <numFmts count="3">
    <numFmt numFmtId="43" formatCode="_(* #,##0.00_);_(* \(#,##0.00\);_(* &quot;-&quot;??_);_(@_)"/>
    <numFmt numFmtId="56" formatCode="&quot;上午/下午 &quot;hh&quot;時&quot;mm&quot;分&quot;ss&quot;秒 &quot;"/>
    <numFmt numFmtId="164" formatCode="yyyy\-mm\-dd;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47"/>
  <sheetViews>
    <sheetView workbookViewId="0"/>
  </sheetViews>
  <sheetData>
    <row r="1">
      <c r="A1" t="str">
        <v>PUNCHING MACHINE: OEE REPORT IN 2019</v>
      </c>
      <c r="K1">
        <v>13</v>
      </c>
    </row>
    <row r="2">
      <c r="E2" t="str">
        <v>Operation Time</v>
      </c>
      <c r="J2" t="str">
        <v>Time Off</v>
      </c>
      <c r="L2" t="str">
        <v>OPERATION TIME</v>
      </c>
      <c r="M2">
        <f>B14-J14</f>
      </c>
    </row>
    <row r="3">
      <c r="L3" t="str">
        <v>UPTIME</v>
      </c>
      <c r="M3">
        <f>E14+F14+G14</f>
      </c>
      <c r="P3" t="str">
        <v xml:space="preserve"> UPTIME RATIO </v>
      </c>
      <c r="Q3">
        <f>M3/M2</f>
      </c>
    </row>
    <row r="4">
      <c r="E4" t="str">
        <v>Equipment Uptime</v>
      </c>
      <c r="H4" t="str">
        <v>Equipment Downtime</v>
      </c>
      <c r="L4" t="str">
        <v>EXECUTING TIME</v>
      </c>
      <c r="M4">
        <f>E14</f>
      </c>
      <c r="P4" t="str">
        <v xml:space="preserve"> OEE </v>
      </c>
      <c r="Q4">
        <f>M4/M2</f>
      </c>
    </row>
    <row r="5">
      <c r="E5" t="str">
        <v>Productive Time</v>
      </c>
      <c r="F5" t="str">
        <v>Lost Time</v>
      </c>
      <c r="H5" t="str">
        <v>Scheduled Downtime</v>
      </c>
    </row>
    <row r="6" xml:space="preserve">
      <c r="A6" t="str">
        <v>Date</v>
      </c>
      <c r="B6" t="str">
        <v>Total Time</v>
      </c>
      <c r="C6" t="str">
        <v>Good products</v>
      </c>
      <c r="D6" t="str">
        <v>Fail Products</v>
      </c>
      <c r="E6" t="str">
        <v>Productive Time</v>
      </c>
      <c r="F6" t="str">
        <v>Standby Time</v>
      </c>
      <c r="G6" t="str">
        <v>Setup Time</v>
      </c>
      <c r="H6" t="str" xml:space="preserve">
        <v xml:space="preserve"> Maintenance Time_x000d_
</v>
      </c>
      <c r="I6" t="str">
        <v xml:space="preserve">Repair Time </v>
      </c>
      <c r="J6" t="str">
        <v>Break Time</v>
      </c>
      <c r="L6" t="str">
        <v>Date</v>
      </c>
      <c r="M6" t="str">
        <v>Available time</v>
      </c>
      <c r="N6" t="str">
        <v>Productive time</v>
      </c>
      <c r="O6" t="str">
        <v>Idle + Engineering time</v>
      </c>
      <c r="P6" t="str">
        <v>Downtime</v>
      </c>
    </row>
    <row r="7">
      <c r="A7" t="str">
        <v>2019-04-17</v>
      </c>
      <c r="B7">
        <v>480</v>
      </c>
      <c r="C7">
        <v>46</v>
      </c>
      <c r="D7">
        <v>0</v>
      </c>
      <c r="E7">
        <v>31</v>
      </c>
      <c r="F7">
        <v>389</v>
      </c>
      <c r="G7">
        <v>0</v>
      </c>
      <c r="H7">
        <v>0</v>
      </c>
      <c r="I7">
        <v>0</v>
      </c>
      <c r="J7">
        <v>60</v>
      </c>
      <c r="L7" t="str">
        <v>2019-04-17</v>
      </c>
      <c r="M7">
        <f>B7-J7</f>
      </c>
      <c r="N7">
        <f>E7</f>
      </c>
      <c r="O7">
        <f>F7+G7</f>
      </c>
      <c r="P7">
        <f>H7+I7</f>
      </c>
    </row>
    <row r="8">
      <c r="A8" t="str">
        <v>2019-04-18</v>
      </c>
      <c r="B8">
        <v>480</v>
      </c>
      <c r="C8">
        <v>48</v>
      </c>
      <c r="D8">
        <v>0</v>
      </c>
      <c r="E8">
        <v>47.5</v>
      </c>
      <c r="F8">
        <v>372.5</v>
      </c>
      <c r="G8">
        <v>0</v>
      </c>
      <c r="H8">
        <v>0</v>
      </c>
      <c r="I8">
        <v>0</v>
      </c>
      <c r="J8">
        <v>60</v>
      </c>
      <c r="L8" t="str">
        <v>2019-04-18</v>
      </c>
      <c r="M8">
        <f>B8-J8</f>
      </c>
      <c r="N8">
        <f>E8</f>
      </c>
      <c r="O8">
        <f>F8+G8</f>
      </c>
      <c r="P8">
        <f>H8+I8</f>
      </c>
    </row>
    <row r="9">
      <c r="A9" t="str">
        <v>2019-04-19</v>
      </c>
      <c r="B9">
        <v>480</v>
      </c>
      <c r="C9">
        <v>206</v>
      </c>
      <c r="D9">
        <v>0</v>
      </c>
      <c r="E9">
        <v>258.5</v>
      </c>
      <c r="F9">
        <v>161.5</v>
      </c>
      <c r="G9">
        <v>0</v>
      </c>
      <c r="H9">
        <v>0</v>
      </c>
      <c r="I9">
        <v>0</v>
      </c>
      <c r="J9">
        <v>60</v>
      </c>
      <c r="L9" t="str">
        <v>2019-04-19</v>
      </c>
      <c r="M9">
        <f>B9-J9</f>
      </c>
      <c r="N9">
        <f>E9</f>
      </c>
      <c r="O9">
        <f>F9+G9</f>
      </c>
      <c r="P9">
        <f>H9+I9</f>
      </c>
    </row>
    <row r="10">
      <c r="A10" t="str">
        <v>2019-04-20</v>
      </c>
      <c r="B10">
        <v>480</v>
      </c>
      <c r="C10">
        <v>0</v>
      </c>
      <c r="D10">
        <v>0</v>
      </c>
      <c r="E10">
        <v>0</v>
      </c>
      <c r="F10">
        <v>420</v>
      </c>
      <c r="G10">
        <v>0</v>
      </c>
      <c r="H10">
        <v>0</v>
      </c>
      <c r="I10">
        <v>0</v>
      </c>
      <c r="J10">
        <v>60</v>
      </c>
      <c r="L10" t="str">
        <v>2019-04-20</v>
      </c>
      <c r="M10">
        <f>B10-J10</f>
      </c>
      <c r="N10">
        <f>E10</f>
      </c>
      <c r="O10">
        <f>F10+G10</f>
      </c>
      <c r="P10">
        <f>H10+I10</f>
      </c>
    </row>
    <row r="11">
      <c r="A11" t="str">
        <v>2019-04-21</v>
      </c>
      <c r="B11">
        <v>480</v>
      </c>
      <c r="C11">
        <v>206</v>
      </c>
      <c r="D11">
        <v>0</v>
      </c>
      <c r="E11">
        <v>258.5</v>
      </c>
      <c r="F11">
        <v>161.5</v>
      </c>
      <c r="G11">
        <v>0</v>
      </c>
      <c r="H11">
        <v>0</v>
      </c>
      <c r="I11">
        <v>0</v>
      </c>
      <c r="J11">
        <v>60</v>
      </c>
      <c r="L11" t="str">
        <v>2019-04-21</v>
      </c>
      <c r="M11">
        <f>B11-J11</f>
      </c>
      <c r="N11">
        <f>E11</f>
      </c>
      <c r="O11">
        <f>F11+G11</f>
      </c>
      <c r="P11">
        <f>H11+I11</f>
      </c>
    </row>
    <row r="12">
      <c r="A12" t="str">
        <v>2019-04-25</v>
      </c>
      <c r="B12">
        <v>720</v>
      </c>
      <c r="C12">
        <v>329</v>
      </c>
      <c r="D12">
        <v>0</v>
      </c>
      <c r="E12">
        <v>410</v>
      </c>
      <c r="F12">
        <v>250</v>
      </c>
      <c r="G12">
        <v>0</v>
      </c>
      <c r="H12">
        <v>0</v>
      </c>
      <c r="I12">
        <v>0</v>
      </c>
      <c r="J12">
        <v>60</v>
      </c>
      <c r="L12" t="str">
        <v>2019-04-25</v>
      </c>
      <c r="M12">
        <f>B12-J12</f>
      </c>
      <c r="N12">
        <f>E12</f>
      </c>
      <c r="O12">
        <f>F12+G12</f>
      </c>
      <c r="P12">
        <f>H12+I12</f>
      </c>
    </row>
    <row r="13">
      <c r="A13" t="str">
        <v>2019-05-10</v>
      </c>
      <c r="B13">
        <v>720</v>
      </c>
      <c r="C13">
        <v>506</v>
      </c>
      <c r="D13">
        <v>0</v>
      </c>
      <c r="E13">
        <v>491.5</v>
      </c>
      <c r="F13">
        <v>168.5</v>
      </c>
      <c r="G13">
        <v>0</v>
      </c>
      <c r="H13">
        <v>0</v>
      </c>
      <c r="I13">
        <v>0</v>
      </c>
      <c r="J13">
        <v>60</v>
      </c>
      <c r="L13" t="str">
        <v>2019-05-10</v>
      </c>
      <c r="M13">
        <f>B13-J13</f>
      </c>
      <c r="N13">
        <f>E13</f>
      </c>
      <c r="O13">
        <f>F13+G13</f>
      </c>
      <c r="P13">
        <f>H13+I13</f>
      </c>
    </row>
    <row r="14">
      <c r="A14" t="str">
        <v>Grand total</v>
      </c>
      <c r="B14">
        <f>SUM(B7:B13)</f>
      </c>
      <c r="C14">
        <f>SUM(C7:C13)</f>
      </c>
      <c r="D14">
        <f>SUM(D7:D13)</f>
      </c>
      <c r="E14">
        <f>SUM(E7:E13)</f>
      </c>
      <c r="F14">
        <f>SUM(F7:F13)</f>
      </c>
      <c r="G14">
        <f>SUM(G7:G13)</f>
      </c>
      <c r="H14">
        <f>SUM(H7:H13)</f>
      </c>
      <c r="I14">
        <f>SUM(I7:I13)</f>
      </c>
      <c r="J14">
        <f>SUM(J7:J13)</f>
      </c>
    </row>
  </sheetData>
  <mergeCells count="7">
    <mergeCell ref="A1:J1"/>
    <mergeCell ref="A2:D5"/>
    <mergeCell ref="E2:I3"/>
    <mergeCell ref="J2:J3"/>
    <mergeCell ref="E4:G4"/>
    <mergeCell ref="H4:I4"/>
    <mergeCell ref="F5:G5"/>
  </mergeCells>
  <pageMargins left="0.7" right="0.7" top="0.75" bottom="0.75" header="0.3" footer="0.3"/>
  <ignoredErrors>
    <ignoredError numberStoredAsText="1" sqref="A1:S47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Company/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2019-04-22T06:12:04Z</dcterms:created>
  <dcterms:modified xsi:type="dcterms:W3CDTF">2019-05-11T09:05:24Z</dcterms:modified>
  <cp:lastModifiedBy>Nguyen Minh Khanh</cp:lastModifiedBy>
  <dc:creator>Nguyen Minh Khanh</dc:creator>
</cp:coreProperties>
</file>